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orien Männer" sheetId="1" r:id="rId5"/>
  </sheets>
  <definedNames/>
  <calcPr/>
</workbook>
</file>

<file path=xl/sharedStrings.xml><?xml version="1.0" encoding="utf-8"?>
<sst xmlns="http://schemas.openxmlformats.org/spreadsheetml/2006/main" count="49" uniqueCount="40">
  <si>
    <t>Basisdaten</t>
  </si>
  <si>
    <t>Alter (in Jahren)</t>
  </si>
  <si>
    <t>Körpergrösse (in m)</t>
  </si>
  <si>
    <t>Gewicht (in kg)</t>
  </si>
  <si>
    <t>Grundumsatz</t>
  </si>
  <si>
    <t>kcal</t>
  </si>
  <si>
    <t>Der Aktivitätsfaktor (AF) 🚶</t>
  </si>
  <si>
    <t>Berechnung der Erhaltungskalorien (TDEE) 🧍🧍</t>
  </si>
  <si>
    <t>Erste Kalorienmenge für die Challenge bestimmen 🔥</t>
  </si>
  <si>
    <t>Defizit</t>
  </si>
  <si>
    <t xml:space="preserve"> </t>
  </si>
  <si>
    <t>Proteinzufuhr</t>
  </si>
  <si>
    <t>Zielgewicht (in kg)</t>
  </si>
  <si>
    <t>Proteinquelle</t>
  </si>
  <si>
    <t>Fleisch</t>
  </si>
  <si>
    <t>Proteinzuführ pro Tag</t>
  </si>
  <si>
    <t>g</t>
  </si>
  <si>
    <t>Protein in Kalorien pro Tag</t>
  </si>
  <si>
    <t>Menge an Fetten🥜</t>
  </si>
  <si>
    <t>Minimale Fettzufuhr (nicht unterschreiten)</t>
  </si>
  <si>
    <t>minimale Fettzufuhr in Kalorien</t>
  </si>
  <si>
    <t>Angestrebte Fettzufuhr in Gramm</t>
  </si>
  <si>
    <t>Angestrebte Fettzufuhr</t>
  </si>
  <si>
    <t>🍞 offenen Kalorien in Form der Kohlenhydraten</t>
  </si>
  <si>
    <t>Kohlenhydrate in Gramm</t>
  </si>
  <si>
    <t>Kohlenhydrate in Kalorien</t>
  </si>
  <si>
    <t>Ergebnis pro Tag</t>
  </si>
  <si>
    <t>Kalorien</t>
  </si>
  <si>
    <t>Gramm</t>
  </si>
  <si>
    <t>Prozentual</t>
  </si>
  <si>
    <t>Gesamtkalorien</t>
  </si>
  <si>
    <t>---</t>
  </si>
  <si>
    <t>Protein</t>
  </si>
  <si>
    <t>Fett</t>
  </si>
  <si>
    <t>Kohlenhydrate</t>
  </si>
  <si>
    <t xml:space="preserve">Anzahl Mahlzeiten </t>
  </si>
  <si>
    <t>Anzahl Mahlzeiten pro Tag</t>
  </si>
  <si>
    <t>in kcal</t>
  </si>
  <si>
    <t>in g</t>
  </si>
  <si>
    <t xml:space="preserve">Protein pro Mahlzeit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</si>
</sst>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readingOrder="0"/>
    </xf>
    <xf borderId="0" fillId="0" fontId="2" numFmtId="0" xfId="0" applyFont="1"/>
    <xf borderId="0" fillId="4" fontId="2" numFmtId="1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2" numFmtId="1" xfId="0" applyFont="1" applyNumberFormat="1"/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1" fillId="4" fontId="2" numFmtId="1" xfId="0" applyBorder="1" applyFont="1" applyNumberFormat="1"/>
    <xf borderId="1" fillId="4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3" fontId="2" numFmtId="1" xfId="0" applyAlignment="1" applyFont="1" applyNumberFormat="1">
      <alignment readingOrder="0"/>
    </xf>
    <xf borderId="1" fillId="4" fontId="2" numFmtId="0" xfId="0" applyAlignment="1" applyBorder="1" applyFont="1">
      <alignment readingOrder="0" shrinkToFit="0" wrapText="1"/>
    </xf>
    <xf borderId="0" fillId="4" fontId="2" numFmtId="0" xfId="0" applyFont="1"/>
    <xf borderId="2" fillId="4" fontId="2" numFmtId="0" xfId="0" applyAlignment="1" applyBorder="1" applyFont="1">
      <alignment readingOrder="0" shrinkToFit="0" wrapText="1"/>
    </xf>
    <xf borderId="2" fillId="4" fontId="2" numFmtId="0" xfId="0" applyAlignment="1" applyBorder="1" applyFont="1">
      <alignment readingOrder="0"/>
    </xf>
    <xf borderId="0" fillId="2" fontId="3" numFmtId="0" xfId="0" applyAlignment="1" applyFont="1">
      <alignment vertical="bottom"/>
    </xf>
    <xf borderId="0" fillId="2" fontId="2" numFmtId="0" xfId="0" applyFont="1"/>
    <xf borderId="1" fillId="4" fontId="2" numFmtId="0" xfId="0" applyAlignment="1" applyBorder="1" applyFont="1">
      <alignment horizontal="center" readingOrder="0"/>
    </xf>
    <xf borderId="1" fillId="4" fontId="2" numFmtId="1" xfId="0" applyAlignment="1" applyBorder="1" applyFont="1" applyNumberFormat="1">
      <alignment readingOrder="0"/>
    </xf>
    <xf borderId="0" fillId="0" fontId="1" numFmtId="10" xfId="0" applyFont="1" applyNumberForma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25</xdr:row>
      <xdr:rowOff>47625</xdr:rowOff>
    </xdr:from>
    <xdr:ext cx="4648200" cy="1019175"/>
    <xdr:pic>
      <xdr:nvPicPr>
        <xdr:cNvPr id="0" name="image5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33</xdr:row>
      <xdr:rowOff>38100</xdr:rowOff>
    </xdr:from>
    <xdr:ext cx="7000875" cy="3533775"/>
    <xdr:pic>
      <xdr:nvPicPr>
        <xdr:cNvPr id="0" name="image4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52</xdr:row>
      <xdr:rowOff>57150</xdr:rowOff>
    </xdr:from>
    <xdr:ext cx="6191250" cy="3381375"/>
    <xdr:pic>
      <xdr:nvPicPr>
        <xdr:cNvPr id="0" name="image2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76</xdr:row>
      <xdr:rowOff>57150</xdr:rowOff>
    </xdr:from>
    <xdr:ext cx="4867275" cy="2457450"/>
    <xdr:pic>
      <xdr:nvPicPr>
        <xdr:cNvPr id="0" name="image1.png" title="Bild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8</xdr:row>
      <xdr:rowOff>161925</xdr:rowOff>
    </xdr:from>
    <xdr:ext cx="7696200" cy="2571750"/>
    <xdr:pic>
      <xdr:nvPicPr>
        <xdr:cNvPr id="0" name="image3.pn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4" max="4" width="23.13"/>
  </cols>
  <sheetData>
    <row r="1">
      <c r="A1" s="1"/>
    </row>
    <row r="2">
      <c r="A2" s="2" t="s">
        <v>0</v>
      </c>
      <c r="B2" s="3"/>
      <c r="C2" s="3"/>
      <c r="D2" s="3"/>
      <c r="E2" s="3"/>
      <c r="F2" s="3"/>
      <c r="G2" s="3"/>
      <c r="H2" s="3"/>
    </row>
    <row r="3">
      <c r="A3" s="4" t="s">
        <v>1</v>
      </c>
      <c r="B3" s="4">
        <v>66.0</v>
      </c>
      <c r="C3" s="5"/>
    </row>
    <row r="4">
      <c r="A4" s="4" t="s">
        <v>2</v>
      </c>
      <c r="B4" s="4">
        <v>1.8</v>
      </c>
      <c r="C4" s="5"/>
    </row>
    <row r="5">
      <c r="A5" s="4" t="s">
        <v>3</v>
      </c>
      <c r="B5" s="4">
        <v>114.0</v>
      </c>
      <c r="C5" s="5"/>
    </row>
    <row r="6">
      <c r="A6" s="2" t="s">
        <v>4</v>
      </c>
      <c r="B6" s="3"/>
      <c r="C6" s="3"/>
      <c r="D6" s="3"/>
      <c r="E6" s="3"/>
      <c r="F6" s="3"/>
      <c r="G6" s="3"/>
      <c r="H6" s="3"/>
    </row>
    <row r="7">
      <c r="A7" s="6">
        <f>SUM((11.936*B5)+(587.728*B4)-(8.129*B3)+220.827)</f>
        <v>2102.9274</v>
      </c>
      <c r="B7" s="7" t="s">
        <v>5</v>
      </c>
    </row>
    <row r="8">
      <c r="A8" s="2" t="s">
        <v>6</v>
      </c>
      <c r="B8" s="3"/>
      <c r="C8" s="8">
        <v>1.4</v>
      </c>
      <c r="D8" s="3"/>
      <c r="E8" s="3"/>
      <c r="F8" s="3"/>
      <c r="G8" s="3"/>
      <c r="H8" s="3"/>
    </row>
    <row r="23">
      <c r="A23" s="2" t="s">
        <v>7</v>
      </c>
      <c r="B23" s="3"/>
      <c r="C23" s="3"/>
      <c r="D23" s="3"/>
      <c r="E23" s="3"/>
      <c r="F23" s="3"/>
      <c r="G23" s="3"/>
      <c r="H23" s="3"/>
    </row>
    <row r="24">
      <c r="A24" s="9">
        <f>SUM(A7*C8)</f>
        <v>2944.09836</v>
      </c>
      <c r="B24" s="7" t="s">
        <v>5</v>
      </c>
    </row>
    <row r="25">
      <c r="A25" s="2" t="s">
        <v>8</v>
      </c>
      <c r="B25" s="3"/>
      <c r="C25" s="3"/>
      <c r="D25" s="3"/>
      <c r="E25" s="3"/>
      <c r="F25" s="3"/>
      <c r="G25" s="3"/>
      <c r="H25" s="3"/>
    </row>
    <row r="26">
      <c r="A26" s="10" t="s">
        <v>9</v>
      </c>
      <c r="B26" s="11">
        <v>0.7</v>
      </c>
    </row>
    <row r="27">
      <c r="A27" s="12">
        <f>SUM(A24*B26)</f>
        <v>2060.868852</v>
      </c>
      <c r="B27" s="13" t="s">
        <v>5</v>
      </c>
    </row>
    <row r="29">
      <c r="D29" s="1" t="s">
        <v>10</v>
      </c>
    </row>
    <row r="32">
      <c r="A32" s="2" t="s">
        <v>11</v>
      </c>
      <c r="B32" s="3"/>
      <c r="C32" s="3"/>
      <c r="D32" s="3"/>
      <c r="E32" s="3"/>
      <c r="F32" s="3"/>
      <c r="G32" s="3"/>
      <c r="H32" s="3"/>
    </row>
    <row r="33">
      <c r="A33" s="1" t="s">
        <v>12</v>
      </c>
      <c r="B33" s="14">
        <v>95.0</v>
      </c>
    </row>
    <row r="34">
      <c r="A34" s="1" t="s">
        <v>13</v>
      </c>
      <c r="B34" s="15" t="s">
        <v>14</v>
      </c>
      <c r="C34" s="10"/>
    </row>
    <row r="35">
      <c r="A35" s="13" t="s">
        <v>15</v>
      </c>
      <c r="B35" s="12">
        <f>B33*IF(B34="Fleisch",2.2,IF(B34="Vegetarisch",2.3,IF(B34="Vegan",2.4,2.4)))
</f>
        <v>209</v>
      </c>
      <c r="C35" s="13" t="s">
        <v>16</v>
      </c>
    </row>
    <row r="36">
      <c r="A36" s="13" t="s">
        <v>17</v>
      </c>
      <c r="B36" s="12">
        <f>B35*4.1</f>
        <v>856.9</v>
      </c>
      <c r="C36" s="13" t="s">
        <v>5</v>
      </c>
    </row>
    <row r="52">
      <c r="A52" s="2" t="s">
        <v>18</v>
      </c>
      <c r="B52" s="3"/>
      <c r="C52" s="3"/>
      <c r="D52" s="3"/>
      <c r="E52" s="3"/>
      <c r="F52" s="3"/>
      <c r="G52" s="3"/>
      <c r="H52" s="3"/>
    </row>
    <row r="53">
      <c r="A53" s="16" t="s">
        <v>19</v>
      </c>
      <c r="B53" s="12">
        <f>B4*100/3</f>
        <v>60</v>
      </c>
      <c r="C53" s="13" t="s">
        <v>16</v>
      </c>
    </row>
    <row r="54">
      <c r="A54" s="16" t="s">
        <v>20</v>
      </c>
      <c r="B54" s="12">
        <f>B53*9.3</f>
        <v>558</v>
      </c>
      <c r="C54" s="13" t="s">
        <v>5</v>
      </c>
    </row>
    <row r="55">
      <c r="A55" s="17"/>
      <c r="B55" s="17"/>
      <c r="C55" s="17"/>
    </row>
    <row r="56">
      <c r="A56" s="18" t="s">
        <v>21</v>
      </c>
      <c r="B56" s="12">
        <f>B57/9.3</f>
        <v>55.39970032</v>
      </c>
      <c r="C56" s="13" t="s">
        <v>16</v>
      </c>
    </row>
    <row r="57">
      <c r="A57" s="19" t="s">
        <v>22</v>
      </c>
      <c r="B57" s="12">
        <f>A27*25%</f>
        <v>515.217213</v>
      </c>
      <c r="C57" s="13" t="s">
        <v>5</v>
      </c>
    </row>
    <row r="68">
      <c r="A68" s="2" t="s">
        <v>23</v>
      </c>
      <c r="B68" s="3"/>
      <c r="C68" s="3"/>
      <c r="D68" s="3"/>
      <c r="E68" s="3"/>
      <c r="F68" s="3"/>
      <c r="G68" s="3"/>
      <c r="H68" s="3"/>
    </row>
    <row r="69">
      <c r="A69" s="16" t="s">
        <v>24</v>
      </c>
      <c r="B69" s="12">
        <f>B70/4.1</f>
        <v>167.9882046</v>
      </c>
      <c r="C69" s="13" t="s">
        <v>16</v>
      </c>
    </row>
    <row r="70">
      <c r="A70" s="16" t="s">
        <v>25</v>
      </c>
      <c r="B70" s="12">
        <f>A27-B36-B57</f>
        <v>688.751639</v>
      </c>
      <c r="C70" s="13" t="s">
        <v>5</v>
      </c>
    </row>
    <row r="71">
      <c r="A71" s="2" t="s">
        <v>26</v>
      </c>
      <c r="B71" s="20" t="s">
        <v>27</v>
      </c>
      <c r="C71" s="20" t="s">
        <v>28</v>
      </c>
      <c r="D71" s="2" t="s">
        <v>29</v>
      </c>
      <c r="E71" s="21"/>
      <c r="F71" s="21"/>
      <c r="G71" s="21"/>
      <c r="H71" s="21"/>
    </row>
    <row r="72">
      <c r="A72" s="13" t="s">
        <v>30</v>
      </c>
      <c r="B72" s="12">
        <f>A27</f>
        <v>2060.868852</v>
      </c>
      <c r="C72" s="22" t="s">
        <v>31</v>
      </c>
    </row>
    <row r="73">
      <c r="A73" s="13" t="s">
        <v>32</v>
      </c>
      <c r="B73" s="12">
        <f>B36</f>
        <v>856.9</v>
      </c>
      <c r="C73" s="23">
        <f>B35</f>
        <v>209</v>
      </c>
      <c r="D73" s="24">
        <f>B73/B72</f>
        <v>0.4157955025</v>
      </c>
    </row>
    <row r="74">
      <c r="A74" s="13" t="s">
        <v>33</v>
      </c>
      <c r="B74" s="12">
        <f>B57</f>
        <v>515.217213</v>
      </c>
      <c r="C74" s="23">
        <f>B56</f>
        <v>55.39970032</v>
      </c>
      <c r="D74" s="24">
        <f>B74/B72</f>
        <v>0.25</v>
      </c>
    </row>
    <row r="75">
      <c r="A75" s="13" t="s">
        <v>34</v>
      </c>
      <c r="B75" s="12">
        <f>B70</f>
        <v>688.751639</v>
      </c>
      <c r="C75" s="23">
        <f>B69</f>
        <v>167.9882046</v>
      </c>
      <c r="D75" s="24">
        <f>B75/B72</f>
        <v>0.3342044975</v>
      </c>
    </row>
    <row r="76">
      <c r="A76" s="2" t="s">
        <v>35</v>
      </c>
      <c r="B76" s="21"/>
      <c r="C76" s="21"/>
      <c r="D76" s="21"/>
      <c r="E76" s="21"/>
      <c r="F76" s="21"/>
      <c r="G76" s="21"/>
      <c r="H76" s="21"/>
    </row>
    <row r="77">
      <c r="A77" s="25" t="s">
        <v>36</v>
      </c>
      <c r="B77" s="8">
        <v>4.0</v>
      </c>
    </row>
    <row r="78">
      <c r="A78" s="5"/>
      <c r="B78" s="26" t="s">
        <v>37</v>
      </c>
      <c r="C78" s="26" t="s">
        <v>38</v>
      </c>
    </row>
    <row r="79">
      <c r="A79" s="13" t="s">
        <v>39</v>
      </c>
      <c r="B79" s="12">
        <f>B73/B77</f>
        <v>214.225</v>
      </c>
      <c r="C79" s="12">
        <f>B35/B77</f>
        <v>52.25</v>
      </c>
    </row>
  </sheetData>
  <dataValidations>
    <dataValidation type="list" allowBlank="1" showErrorMessage="1" sqref="B26">
      <formula1>"80%,70%"</formula1>
    </dataValidation>
    <dataValidation type="list" allowBlank="1" showErrorMessage="1" sqref="C8">
      <formula1>"1,2,1,4,1,5,1,6,1,7,1,8,1,9,2,0,2,1,2,2,2,3,2,4,keine Auswahl"</formula1>
    </dataValidation>
    <dataValidation type="list" allowBlank="1" showErrorMessage="1" sqref="B34">
      <formula1>"Fleisch,Vegetarisch,Vegan"</formula1>
    </dataValidation>
    <dataValidation type="list" allowBlank="1" showErrorMessage="1" sqref="B77">
      <formula1>"3,4,5"</formula1>
    </dataValidation>
  </dataValidations>
  <drawing r:id="rId1"/>
</worksheet>
</file>